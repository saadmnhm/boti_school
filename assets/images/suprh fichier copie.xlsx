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boti_school\assets\images\"/>
    </mc:Choice>
  </mc:AlternateContent>
  <xr:revisionPtr revIDLastSave="0" documentId="13_ncr:1_{8FEE199E-97E0-4AD7-BD62-CDA5EEF40E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2" l="1"/>
  <c r="T4" i="2"/>
  <c r="Q4" i="2"/>
</calcChain>
</file>

<file path=xl/sharedStrings.xml><?xml version="1.0" encoding="utf-8"?>
<sst xmlns="http://schemas.openxmlformats.org/spreadsheetml/2006/main" count="159" uniqueCount="103">
  <si>
    <t>Matricule</t>
  </si>
  <si>
    <t>NOM</t>
  </si>
  <si>
    <t>PRENOM</t>
  </si>
  <si>
    <t>Convention de paiement</t>
  </si>
  <si>
    <t>FORMATION CONVENU</t>
  </si>
  <si>
    <t>INSCRIPTION</t>
  </si>
  <si>
    <t>BDE</t>
  </si>
  <si>
    <t>PROGRAMME</t>
  </si>
  <si>
    <t>Frais programme international</t>
  </si>
  <si>
    <t>PRIX GLOBAL CONVENU</t>
  </si>
  <si>
    <t xml:space="preserve"> RELIQUAT 23/24</t>
  </si>
  <si>
    <t>RATTRAPAGE 23/24</t>
  </si>
  <si>
    <t xml:space="preserve"> RELIQUAT 24/25</t>
  </si>
  <si>
    <t xml:space="preserve">RATTRAPAGE 24/25 </t>
  </si>
  <si>
    <t>Reliquat 25-26</t>
  </si>
  <si>
    <t>Rattrapage 25/26</t>
  </si>
  <si>
    <t>Paiement</t>
  </si>
  <si>
    <t>Mode de paiement</t>
  </si>
  <si>
    <t>DATE</t>
  </si>
  <si>
    <t>Total des paiements effectues</t>
  </si>
  <si>
    <t>2025-1-825</t>
  </si>
  <si>
    <t>2025-1-826</t>
  </si>
  <si>
    <t>KOPE KENDEWA</t>
  </si>
  <si>
    <t>REGIS</t>
  </si>
  <si>
    <t>DIKAMBA BUZANGU</t>
  </si>
  <si>
    <t>JOEL</t>
  </si>
  <si>
    <t>2025-1-776</t>
  </si>
  <si>
    <t>NGOLOMBE</t>
  </si>
  <si>
    <t>Josephine GRACE</t>
  </si>
  <si>
    <t>2025-1-789</t>
  </si>
  <si>
    <t xml:space="preserve"> EL MAHI</t>
  </si>
  <si>
    <t>MOUAD</t>
  </si>
  <si>
    <t>2025-1-788</t>
  </si>
  <si>
    <t xml:space="preserve">BOUQADIR </t>
  </si>
  <si>
    <t>MALAK</t>
  </si>
  <si>
    <t>IMANE</t>
  </si>
  <si>
    <t>IKRAM</t>
  </si>
  <si>
    <t>ANBG</t>
  </si>
  <si>
    <t>AR</t>
  </si>
  <si>
    <t>2025-3-663</t>
  </si>
  <si>
    <t>HATHOUT</t>
  </si>
  <si>
    <t>YOUSSEF</t>
  </si>
  <si>
    <t>2025-3-821</t>
  </si>
  <si>
    <t>KIMBIRI</t>
  </si>
  <si>
    <t>AMINATA</t>
  </si>
  <si>
    <t>2025-3-814</t>
  </si>
  <si>
    <t>EL BOUAZIZI</t>
  </si>
  <si>
    <t>ACHRAF</t>
  </si>
  <si>
    <t>2025-3-815</t>
  </si>
  <si>
    <t>BELLATI</t>
  </si>
  <si>
    <t>AYMAN</t>
  </si>
  <si>
    <t>2025-3-458</t>
  </si>
  <si>
    <t>EZZAHORI</t>
  </si>
  <si>
    <t>Houssam</t>
  </si>
  <si>
    <t>2025-3-717</t>
  </si>
  <si>
    <t>AFKIR</t>
  </si>
  <si>
    <t>ASMAA</t>
  </si>
  <si>
    <t>HAMZA</t>
  </si>
  <si>
    <t>RECENT</t>
  </si>
  <si>
    <t>2025-3-818</t>
  </si>
  <si>
    <t>BYMASSEN</t>
  </si>
  <si>
    <t>2025-3-824</t>
  </si>
  <si>
    <t>RAFIHI</t>
  </si>
  <si>
    <t>2025-3-751</t>
  </si>
  <si>
    <t>EL GANDOUR</t>
  </si>
  <si>
    <t>2025-3-786</t>
  </si>
  <si>
    <t>Taoussi</t>
  </si>
  <si>
    <t>Loubna</t>
  </si>
  <si>
    <t>2025-3-830</t>
  </si>
  <si>
    <t>Missat</t>
  </si>
  <si>
    <t>mbarka</t>
  </si>
  <si>
    <t>CISSE</t>
  </si>
  <si>
    <t>2025-4-828</t>
  </si>
  <si>
    <t>YAHYA</t>
  </si>
  <si>
    <t>2025-4-790</t>
  </si>
  <si>
    <t>Christina</t>
  </si>
  <si>
    <t>2025-4-816</t>
  </si>
  <si>
    <t>AGBOKA ESPERANCE</t>
  </si>
  <si>
    <t>MIHAELLE AMANVI</t>
  </si>
  <si>
    <t>2025-4-820</t>
  </si>
  <si>
    <t>MANZALA NIMANGA</t>
  </si>
  <si>
    <t>BENGHY JOSEPH</t>
  </si>
  <si>
    <t>2025-4-813</t>
  </si>
  <si>
    <t>HARGHAOUI</t>
  </si>
  <si>
    <t>BASMA</t>
  </si>
  <si>
    <t>2025-4-791</t>
  </si>
  <si>
    <t>FETTAH</t>
  </si>
  <si>
    <t>WIAM</t>
  </si>
  <si>
    <t>2025-4-714</t>
  </si>
  <si>
    <t>EL BAHHAJI</t>
  </si>
  <si>
    <t>LAMIA</t>
  </si>
  <si>
    <t>2025-4-809</t>
  </si>
  <si>
    <t>HAIMOUK</t>
  </si>
  <si>
    <t>2025-4-819</t>
  </si>
  <si>
    <t>EL MARZOUKI</t>
  </si>
  <si>
    <t>YASSINE</t>
  </si>
  <si>
    <t>espece</t>
  </si>
  <si>
    <t xml:space="preserve">espece </t>
  </si>
  <si>
    <t>virement</t>
  </si>
  <si>
    <t xml:space="preserve">virement </t>
  </si>
  <si>
    <t xml:space="preserve">  virement </t>
  </si>
  <si>
    <t xml:space="preserve">virement  </t>
  </si>
  <si>
    <t>CH N 9149870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</si>
</sst>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/m/yyyy"/>
    <numFmt numFmtId="166" formatCode="_-* #,##0.00_-;\-* #,##0.00_-;_-* &quot;-&quot;??_-;_-@"/>
    <numFmt numFmtId="168" formatCode="yyyy\-mm\-dd;@"/>
  </numFmts>
  <fonts count="14" x14ac:knownFonts="1">
    <font>
      <sz val="10"/>
      <color rgb="FF000000"/>
      <name val="Arial"/>
      <scheme val="minor"/>
    </font>
    <font>
      <b/>
      <sz val="10"/>
      <color theme="1"/>
      <name val="Lato"/>
    </font>
    <font>
      <b/>
      <sz val="11"/>
      <color theme="1"/>
      <name val="Lato"/>
    </font>
    <font>
      <sz val="11"/>
      <color theme="1"/>
      <name val="Calibri"/>
      <family val="2"/>
    </font>
    <font>
      <sz val="12"/>
      <color theme="1"/>
      <name val="Lato"/>
    </font>
    <font>
      <sz val="11"/>
      <color theme="1"/>
      <name val="Lato"/>
    </font>
    <font>
      <b/>
      <sz val="12"/>
      <color theme="1"/>
      <name val="Lato"/>
    </font>
    <font>
      <sz val="11"/>
      <color rgb="FFFF0000"/>
      <name val="Lato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/>
    <xf numFmtId="4" fontId="5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/>
    <xf numFmtId="14" fontId="3" fillId="2" borderId="1" xfId="0" applyNumberFormat="1" applyFont="1" applyFill="1" applyBorder="1"/>
    <xf numFmtId="165" fontId="3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0" xfId="0" applyFont="1" applyFill="1"/>
    <xf numFmtId="14" fontId="3" fillId="2" borderId="3" xfId="0" applyNumberFormat="1" applyFont="1" applyFill="1" applyBorder="1"/>
    <xf numFmtId="0" fontId="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/>
    <xf numFmtId="164" fontId="11" fillId="2" borderId="11" xfId="0" applyNumberFormat="1" applyFont="1" applyFill="1" applyBorder="1" applyAlignment="1">
      <alignment horizontal="center"/>
    </xf>
    <xf numFmtId="164" fontId="8" fillId="2" borderId="8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66" fontId="8" fillId="2" borderId="9" xfId="0" applyNumberFormat="1" applyFont="1" applyFill="1" applyBorder="1" applyAlignment="1">
      <alignment horizontal="center"/>
    </xf>
    <xf numFmtId="166" fontId="8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/>
    <xf numFmtId="14" fontId="3" fillId="2" borderId="8" xfId="0" applyNumberFormat="1" applyFont="1" applyFill="1" applyBorder="1"/>
    <xf numFmtId="0" fontId="8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4" fontId="5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165" fontId="3" fillId="2" borderId="3" xfId="0" applyNumberFormat="1" applyFont="1" applyFill="1" applyBorder="1"/>
    <xf numFmtId="4" fontId="5" fillId="3" borderId="0" xfId="0" applyNumberFormat="1" applyFont="1" applyFill="1" applyAlignment="1">
      <alignment horizontal="center"/>
    </xf>
    <xf numFmtId="0" fontId="10" fillId="2" borderId="13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4" fontId="3" fillId="2" borderId="3" xfId="0" applyNumberFormat="1" applyFont="1" applyFill="1" applyBorder="1"/>
    <xf numFmtId="165" fontId="3" fillId="2" borderId="8" xfId="0" applyNumberFormat="1" applyFont="1" applyFill="1" applyBorder="1"/>
    <xf numFmtId="0" fontId="10" fillId="2" borderId="1" xfId="0" applyFont="1" applyFill="1" applyBorder="1"/>
    <xf numFmtId="0" fontId="3" fillId="2" borderId="3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/>
    </xf>
    <xf numFmtId="166" fontId="3" fillId="2" borderId="6" xfId="0" applyNumberFormat="1" applyFont="1" applyFill="1" applyBorder="1" applyAlignment="1">
      <alignment horizontal="right"/>
    </xf>
    <xf numFmtId="166" fontId="3" fillId="2" borderId="6" xfId="0" applyNumberFormat="1" applyFont="1" applyFill="1" applyBorder="1"/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right"/>
    </xf>
    <xf numFmtId="0" fontId="3" fillId="2" borderId="6" xfId="0" applyFont="1" applyFill="1" applyBorder="1"/>
    <xf numFmtId="14" fontId="3" fillId="2" borderId="6" xfId="0" applyNumberFormat="1" applyFont="1" applyFill="1" applyBorder="1"/>
    <xf numFmtId="0" fontId="9" fillId="2" borderId="22" xfId="0" applyFont="1" applyFill="1" applyBorder="1"/>
    <xf numFmtId="0" fontId="9" fillId="2" borderId="23" xfId="0" applyFont="1" applyFill="1" applyBorder="1"/>
    <xf numFmtId="0" fontId="3" fillId="2" borderId="17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0" xfId="0" applyFont="1" applyFill="1" applyBorder="1"/>
    <xf numFmtId="164" fontId="8" fillId="2" borderId="3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8" fillId="2" borderId="12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164" fontId="8" fillId="2" borderId="6" xfId="0" applyNumberFormat="1" applyFont="1" applyFill="1" applyBorder="1" applyAlignment="1">
      <alignment horizontal="center"/>
    </xf>
    <xf numFmtId="164" fontId="3" fillId="2" borderId="6" xfId="0" applyNumberFormat="1" applyFont="1" applyFill="1" applyBorder="1"/>
    <xf numFmtId="165" fontId="3" fillId="2" borderId="6" xfId="0" applyNumberFormat="1" applyFont="1" applyFill="1" applyBorder="1"/>
    <xf numFmtId="165" fontId="11" fillId="2" borderId="10" xfId="0" applyNumberFormat="1" applyFont="1" applyFill="1" applyBorder="1" applyAlignment="1">
      <alignment horizontal="center"/>
    </xf>
    <xf numFmtId="164" fontId="11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166" fontId="10" fillId="2" borderId="6" xfId="0" applyNumberFormat="1" applyFont="1" applyFill="1" applyBorder="1" applyAlignment="1">
      <alignment horizontal="center"/>
    </xf>
    <xf numFmtId="0" fontId="10" fillId="3" borderId="13" xfId="0" applyFont="1" applyFill="1" applyBorder="1"/>
    <xf numFmtId="4" fontId="8" fillId="3" borderId="4" xfId="0" applyNumberFormat="1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3" fillId="3" borderId="6" xfId="0" applyNumberFormat="1" applyFont="1" applyFill="1" applyBorder="1"/>
    <xf numFmtId="0" fontId="3" fillId="3" borderId="0" xfId="0" applyFont="1" applyFill="1"/>
    <xf numFmtId="164" fontId="12" fillId="3" borderId="7" xfId="0" applyNumberFormat="1" applyFont="1" applyFill="1" applyBorder="1" applyAlignment="1">
      <alignment horizontal="center"/>
    </xf>
    <xf numFmtId="4" fontId="3" fillId="3" borderId="3" xfId="0" applyNumberFormat="1" applyFont="1" applyFill="1" applyBorder="1"/>
    <xf numFmtId="14" fontId="3" fillId="3" borderId="6" xfId="0" applyNumberFormat="1" applyFont="1" applyFill="1" applyBorder="1"/>
    <xf numFmtId="166" fontId="3" fillId="3" borderId="6" xfId="0" applyNumberFormat="1" applyFont="1" applyFill="1" applyBorder="1"/>
    <xf numFmtId="0" fontId="3" fillId="3" borderId="6" xfId="0" applyFont="1" applyFill="1" applyBorder="1"/>
    <xf numFmtId="0" fontId="13" fillId="2" borderId="0" xfId="0" applyFont="1" applyFill="1"/>
    <xf numFmtId="0" fontId="1" fillId="2" borderId="1" xfId="0" applyNumberFormat="1" applyFont="1" applyFill="1" applyBorder="1" applyAlignment="1">
      <alignment horizontal="center" wrapText="1"/>
    </xf>
    <xf numFmtId="0" fontId="5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/>
    <xf numFmtId="0" fontId="10" fillId="2" borderId="1" xfId="0" applyNumberFormat="1" applyFont="1" applyFill="1" applyBorder="1" applyAlignment="1">
      <alignment horizontal="center"/>
    </xf>
    <xf numFmtId="0" fontId="3" fillId="2" borderId="0" xfId="0" applyNumberFormat="1" applyFont="1" applyFill="1"/>
    <xf numFmtId="0" fontId="8" fillId="2" borderId="2" xfId="0" applyNumberFormat="1" applyFont="1" applyFill="1" applyBorder="1" applyAlignment="1">
      <alignment horizontal="center"/>
    </xf>
    <xf numFmtId="0" fontId="8" fillId="2" borderId="1" xfId="0" applyNumberFormat="1" applyFont="1" applyFill="1" applyBorder="1" applyAlignment="1">
      <alignment horizontal="center"/>
    </xf>
    <xf numFmtId="0" fontId="8" fillId="2" borderId="9" xfId="0" applyNumberFormat="1" applyFont="1" applyFill="1" applyBorder="1" applyAlignment="1">
      <alignment horizontal="center" wrapText="1"/>
    </xf>
    <xf numFmtId="0" fontId="3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/>
    <xf numFmtId="0" fontId="3" fillId="2" borderId="6" xfId="0" applyNumberFormat="1" applyFont="1" applyFill="1" applyBorder="1" applyAlignment="1">
      <alignment horizontal="center"/>
    </xf>
    <xf numFmtId="0" fontId="8" fillId="2" borderId="7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right"/>
    </xf>
    <xf numFmtId="0" fontId="8" fillId="2" borderId="6" xfId="0" applyNumberFormat="1" applyFont="1" applyFill="1" applyBorder="1" applyAlignment="1">
      <alignment horizontal="center"/>
    </xf>
    <xf numFmtId="0" fontId="11" fillId="2" borderId="2" xfId="0" applyNumberFormat="1" applyFont="1" applyFill="1" applyBorder="1" applyAlignment="1">
      <alignment horizontal="center" wrapText="1"/>
    </xf>
    <xf numFmtId="0" fontId="11" fillId="2" borderId="1" xfId="0" applyNumberFormat="1" applyFont="1" applyFill="1" applyBorder="1" applyAlignment="1">
      <alignment horizontal="center"/>
    </xf>
    <xf numFmtId="0" fontId="10" fillId="2" borderId="6" xfId="0" applyNumberFormat="1" applyFont="1" applyFill="1" applyBorder="1" applyAlignment="1">
      <alignment horizontal="center"/>
    </xf>
    <xf numFmtId="0" fontId="3" fillId="3" borderId="6" xfId="0" applyNumberFormat="1" applyFont="1" applyFill="1" applyBorder="1"/>
    <xf numFmtId="0" fontId="3" fillId="3" borderId="0" xfId="0" applyNumberFormat="1" applyFont="1" applyFill="1"/>
    <xf numFmtId="0" fontId="13" fillId="2" borderId="0" xfId="0" applyNumberFormat="1" applyFont="1" applyFill="1"/>
    <xf numFmtId="0" fontId="0" fillId="0" borderId="0" xfId="0" applyNumberFormat="1"/>
    <xf numFmtId="0" fontId="7" fillId="2" borderId="1" xfId="0" applyNumberFormat="1" applyFont="1" applyFill="1" applyBorder="1" applyAlignment="1">
      <alignment horizontal="center"/>
    </xf>
    <xf numFmtId="0" fontId="7" fillId="2" borderId="3" xfId="0" applyNumberFormat="1" applyFont="1" applyFill="1" applyBorder="1" applyAlignment="1">
      <alignment horizontal="center"/>
    </xf>
    <xf numFmtId="0" fontId="3" fillId="2" borderId="3" xfId="0" applyNumberFormat="1" applyFont="1" applyFill="1" applyBorder="1"/>
    <xf numFmtId="0" fontId="7" fillId="3" borderId="3" xfId="0" applyNumberFormat="1" applyFont="1" applyFill="1" applyBorder="1" applyAlignment="1">
      <alignment horizontal="center"/>
    </xf>
    <xf numFmtId="0" fontId="8" fillId="2" borderId="2" xfId="0" applyNumberFormat="1" applyFont="1" applyFill="1" applyBorder="1" applyAlignment="1">
      <alignment horizontal="right"/>
    </xf>
    <xf numFmtId="0" fontId="3" fillId="2" borderId="7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8" fillId="2" borderId="21" xfId="0" applyNumberFormat="1" applyFont="1" applyFill="1" applyBorder="1" applyAlignment="1">
      <alignment horizontal="center"/>
    </xf>
    <xf numFmtId="0" fontId="11" fillId="2" borderId="18" xfId="0" applyNumberFormat="1" applyFont="1" applyFill="1" applyBorder="1" applyAlignment="1">
      <alignment horizontal="center"/>
    </xf>
    <xf numFmtId="0" fontId="3" fillId="3" borderId="7" xfId="0" applyNumberFormat="1" applyFont="1" applyFill="1" applyBorder="1"/>
    <xf numFmtId="0" fontId="8" fillId="2" borderId="9" xfId="0" applyNumberFormat="1" applyFont="1" applyFill="1" applyBorder="1" applyAlignment="1">
      <alignment horizontal="center"/>
    </xf>
    <xf numFmtId="0" fontId="8" fillId="2" borderId="18" xfId="0" applyNumberFormat="1" applyFont="1" applyFill="1" applyBorder="1" applyAlignment="1">
      <alignment horizontal="center"/>
    </xf>
    <xf numFmtId="0" fontId="3" fillId="2" borderId="7" xfId="0" applyNumberFormat="1" applyFont="1" applyFill="1" applyBorder="1"/>
    <xf numFmtId="0" fontId="3" fillId="2" borderId="2" xfId="0" applyNumberFormat="1" applyFont="1" applyFill="1" applyBorder="1"/>
    <xf numFmtId="0" fontId="3" fillId="2" borderId="7" xfId="0" applyNumberFormat="1" applyFont="1" applyFill="1" applyBorder="1" applyAlignment="1">
      <alignment horizontal="right"/>
    </xf>
    <xf numFmtId="0" fontId="3" fillId="2" borderId="18" xfId="0" applyNumberFormat="1" applyFont="1" applyFill="1" applyBorder="1"/>
    <xf numFmtId="0" fontId="3" fillId="2" borderId="9" xfId="0" applyNumberFormat="1" applyFont="1" applyFill="1" applyBorder="1"/>
    <xf numFmtId="168" fontId="1" fillId="2" borderId="1" xfId="0" applyNumberFormat="1" applyFont="1" applyFill="1" applyBorder="1" applyAlignment="1">
      <alignment horizontal="center" wrapText="1"/>
    </xf>
    <xf numFmtId="168" fontId="5" fillId="2" borderId="1" xfId="0" applyNumberFormat="1" applyFont="1" applyFill="1" applyBorder="1" applyAlignment="1">
      <alignment horizontal="center"/>
    </xf>
    <xf numFmtId="168" fontId="10" fillId="2" borderId="1" xfId="0" applyNumberFormat="1" applyFont="1" applyFill="1" applyBorder="1" applyAlignment="1">
      <alignment horizontal="center"/>
    </xf>
    <xf numFmtId="168" fontId="8" fillId="2" borderId="8" xfId="0" applyNumberFormat="1" applyFont="1" applyFill="1" applyBorder="1" applyAlignment="1">
      <alignment horizontal="center"/>
    </xf>
    <xf numFmtId="168" fontId="3" fillId="2" borderId="5" xfId="0" applyNumberFormat="1" applyFont="1" applyFill="1" applyBorder="1" applyAlignment="1">
      <alignment horizontal="center"/>
    </xf>
    <xf numFmtId="168" fontId="3" fillId="2" borderId="6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8" fontId="8" fillId="2" borderId="3" xfId="0" applyNumberFormat="1" applyFont="1" applyFill="1" applyBorder="1" applyAlignment="1">
      <alignment horizontal="center"/>
    </xf>
    <xf numFmtId="168" fontId="8" fillId="2" borderId="1" xfId="0" applyNumberFormat="1" applyFont="1" applyFill="1" applyBorder="1" applyAlignment="1">
      <alignment horizontal="center"/>
    </xf>
    <xf numFmtId="168" fontId="8" fillId="2" borderId="6" xfId="0" applyNumberFormat="1" applyFont="1" applyFill="1" applyBorder="1" applyAlignment="1">
      <alignment horizontal="center"/>
    </xf>
    <xf numFmtId="168" fontId="3" fillId="2" borderId="1" xfId="0" applyNumberFormat="1" applyFont="1" applyFill="1" applyBorder="1"/>
    <xf numFmtId="168" fontId="11" fillId="2" borderId="3" xfId="0" applyNumberFormat="1" applyFont="1" applyFill="1" applyBorder="1" applyAlignment="1">
      <alignment horizontal="right"/>
    </xf>
    <xf numFmtId="168" fontId="3" fillId="3" borderId="6" xfId="0" applyNumberFormat="1" applyFont="1" applyFill="1" applyBorder="1"/>
    <xf numFmtId="168" fontId="3" fillId="2" borderId="1" xfId="0" applyNumberFormat="1" applyFont="1" applyFill="1" applyBorder="1" applyAlignment="1">
      <alignment horizontal="right"/>
    </xf>
    <xf numFmtId="168" fontId="13" fillId="2" borderId="0" xfId="0" applyNumberFormat="1" applyFont="1" applyFill="1"/>
    <xf numFmtId="168" fontId="0" fillId="0" borderId="0" xfId="0" applyNumberFormat="1"/>
    <xf numFmtId="168" fontId="3" fillId="2" borderId="6" xfId="0" applyNumberFormat="1" applyFont="1" applyFill="1" applyBorder="1" applyAlignment="1">
      <alignment horizontal="right"/>
    </xf>
    <xf numFmtId="168" fontId="8" fillId="2" borderId="11" xfId="0" applyNumberFormat="1" applyFont="1" applyFill="1" applyBorder="1" applyAlignment="1">
      <alignment horizontal="center"/>
    </xf>
    <xf numFmtId="168" fontId="3" fillId="2" borderId="6" xfId="0" applyNumberFormat="1" applyFont="1" applyFill="1" applyBorder="1"/>
    <xf numFmtId="168" fontId="11" fillId="2" borderId="3" xfId="0" applyNumberFormat="1" applyFont="1" applyFill="1" applyBorder="1" applyAlignment="1">
      <alignment horizontal="center"/>
    </xf>
    <xf numFmtId="168" fontId="3" fillId="2" borderId="8" xfId="0" applyNumberFormat="1" applyFont="1" applyFill="1" applyBorder="1"/>
    <xf numFmtId="168" fontId="3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29"/>
  <sheetViews>
    <sheetView tabSelected="1" zoomScale="70" zoomScaleNormal="70" workbookViewId="0">
      <selection activeCell="O25" sqref="O25"/>
    </sheetView>
  </sheetViews>
  <sheetFormatPr baseColWidth="10" defaultColWidth="12.5703125" defaultRowHeight="15.75" customHeight="1" x14ac:dyDescent="0.2"/>
  <cols>
    <col min="1" max="1" width="15.7109375" bestFit="1" customWidth="1"/>
    <col min="2" max="2" width="30.85546875" customWidth="1"/>
    <col min="5" max="9" width="12.5703125" style="104"/>
    <col min="10" max="10" width="25.5703125" customWidth="1"/>
    <col min="15" max="15" width="16.7109375" style="104" bestFit="1" customWidth="1"/>
    <col min="17" max="17" width="12.5703125" style="104"/>
    <col min="18" max="18" width="10.28515625" bestFit="1" customWidth="1"/>
    <col min="19" max="19" width="13.5703125" style="137" bestFit="1" customWidth="1"/>
    <col min="20" max="20" width="12.5703125" style="104"/>
    <col min="22" max="22" width="12.5703125" style="137"/>
    <col min="23" max="23" width="12.5703125" style="104"/>
    <col min="25" max="25" width="13.28515625" style="137" bestFit="1" customWidth="1"/>
    <col min="26" max="26" width="12.5703125" style="104"/>
    <col min="28" max="28" width="12.5703125" style="137"/>
    <col min="29" max="29" width="12.5703125" style="104"/>
    <col min="30" max="30" width="12.5703125" style="137"/>
    <col min="32" max="32" width="12.5703125" style="104"/>
    <col min="35" max="35" width="12.5703125" style="104"/>
  </cols>
  <sheetData>
    <row r="1" spans="1:41" ht="15.75" customHeight="1" x14ac:dyDescent="0.35">
      <c r="A1" s="2" t="s">
        <v>0</v>
      </c>
      <c r="B1" s="29" t="s">
        <v>1</v>
      </c>
      <c r="C1" s="29" t="s">
        <v>2</v>
      </c>
      <c r="D1" s="2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1" t="s">
        <v>9</v>
      </c>
      <c r="K1" s="30" t="s">
        <v>10</v>
      </c>
      <c r="L1" s="30" t="s">
        <v>11</v>
      </c>
      <c r="M1" s="1" t="s">
        <v>12</v>
      </c>
      <c r="N1" s="1" t="s">
        <v>13</v>
      </c>
      <c r="O1" s="84" t="s">
        <v>14</v>
      </c>
      <c r="P1" s="1" t="s">
        <v>15</v>
      </c>
      <c r="Q1" s="84" t="s">
        <v>16</v>
      </c>
      <c r="R1" s="2" t="s">
        <v>17</v>
      </c>
      <c r="S1" s="122" t="s">
        <v>18</v>
      </c>
      <c r="T1" s="84" t="s">
        <v>16</v>
      </c>
      <c r="U1" s="2" t="s">
        <v>17</v>
      </c>
      <c r="V1" s="122" t="s">
        <v>18</v>
      </c>
      <c r="W1" s="84" t="s">
        <v>16</v>
      </c>
      <c r="X1" s="2" t="s">
        <v>17</v>
      </c>
      <c r="Y1" s="122" t="s">
        <v>18</v>
      </c>
      <c r="Z1" s="84" t="s">
        <v>16</v>
      </c>
      <c r="AA1" s="2" t="s">
        <v>17</v>
      </c>
      <c r="AB1" s="122" t="s">
        <v>18</v>
      </c>
      <c r="AC1" s="84" t="s">
        <v>16</v>
      </c>
      <c r="AD1" s="122" t="s">
        <v>17</v>
      </c>
      <c r="AE1" s="3" t="s">
        <v>18</v>
      </c>
      <c r="AF1" s="84" t="s">
        <v>16</v>
      </c>
      <c r="AG1" s="2" t="s">
        <v>17</v>
      </c>
      <c r="AH1" s="2" t="s">
        <v>18</v>
      </c>
      <c r="AI1" s="84" t="s">
        <v>16</v>
      </c>
      <c r="AJ1" s="2" t="s">
        <v>17</v>
      </c>
      <c r="AK1" s="2" t="s">
        <v>18</v>
      </c>
      <c r="AL1" s="31" t="s">
        <v>19</v>
      </c>
      <c r="AM1" s="12"/>
      <c r="AN1" s="12"/>
      <c r="AO1" s="12"/>
    </row>
    <row r="2" spans="1:41" ht="15.75" customHeight="1" x14ac:dyDescent="0.4">
      <c r="A2" s="10" t="s">
        <v>21</v>
      </c>
      <c r="B2" s="4" t="s">
        <v>22</v>
      </c>
      <c r="C2" s="4" t="s">
        <v>23</v>
      </c>
      <c r="D2" s="5"/>
      <c r="E2" s="85">
        <v>35000</v>
      </c>
      <c r="F2" s="85">
        <v>3000</v>
      </c>
      <c r="G2" s="85">
        <v>3000</v>
      </c>
      <c r="H2" s="86"/>
      <c r="I2" s="85">
        <v>0</v>
      </c>
      <c r="J2" s="6">
        <v>41000</v>
      </c>
      <c r="K2" s="7"/>
      <c r="L2" s="7"/>
      <c r="M2" s="7"/>
      <c r="N2" s="7"/>
      <c r="O2" s="105">
        <v>25195</v>
      </c>
      <c r="P2" s="7"/>
      <c r="Q2" s="85">
        <v>4805</v>
      </c>
      <c r="R2" s="11" t="s">
        <v>96</v>
      </c>
      <c r="S2" s="123">
        <v>45908</v>
      </c>
      <c r="T2" s="89">
        <v>11000</v>
      </c>
      <c r="U2" s="12" t="s">
        <v>97</v>
      </c>
      <c r="V2" s="129">
        <v>46017</v>
      </c>
      <c r="W2" s="86"/>
      <c r="X2" s="7"/>
      <c r="Y2" s="132"/>
      <c r="Z2" s="86"/>
      <c r="AA2" s="7"/>
      <c r="AB2" s="132"/>
      <c r="AC2" s="118"/>
      <c r="AD2" s="132"/>
      <c r="AE2" s="13"/>
      <c r="AF2" s="86"/>
      <c r="AG2" s="9"/>
      <c r="AH2" s="9"/>
      <c r="AI2" s="86"/>
      <c r="AJ2" s="9"/>
      <c r="AK2" s="9"/>
      <c r="AL2" s="32">
        <v>15805</v>
      </c>
      <c r="AM2" s="33"/>
      <c r="AN2" s="33"/>
      <c r="AO2" s="33"/>
    </row>
    <row r="3" spans="1:41" ht="15.75" customHeight="1" x14ac:dyDescent="0.4">
      <c r="A3" s="10" t="s">
        <v>20</v>
      </c>
      <c r="B3" s="4" t="s">
        <v>24</v>
      </c>
      <c r="C3" s="4" t="s">
        <v>25</v>
      </c>
      <c r="D3" s="12"/>
      <c r="E3" s="85">
        <v>35000</v>
      </c>
      <c r="F3" s="85">
        <v>3000</v>
      </c>
      <c r="G3" s="85">
        <v>3000</v>
      </c>
      <c r="H3" s="86"/>
      <c r="I3" s="86"/>
      <c r="J3" s="6">
        <v>41000</v>
      </c>
      <c r="K3" s="7"/>
      <c r="L3" s="7"/>
      <c r="M3" s="7"/>
      <c r="N3" s="7"/>
      <c r="O3" s="105">
        <v>23000</v>
      </c>
      <c r="P3" s="7"/>
      <c r="Q3" s="85">
        <v>10000</v>
      </c>
      <c r="R3" s="11" t="s">
        <v>97</v>
      </c>
      <c r="S3" s="123">
        <v>46001</v>
      </c>
      <c r="T3" s="111">
        <v>8000</v>
      </c>
      <c r="U3" s="15" t="s">
        <v>97</v>
      </c>
      <c r="V3" s="128">
        <v>46006</v>
      </c>
      <c r="W3" s="86"/>
      <c r="X3" s="7"/>
      <c r="Y3" s="132"/>
      <c r="Z3" s="86"/>
      <c r="AA3" s="7"/>
      <c r="AB3" s="132"/>
      <c r="AC3" s="118"/>
      <c r="AD3" s="132"/>
      <c r="AE3" s="13"/>
      <c r="AF3" s="86"/>
      <c r="AG3" s="9"/>
      <c r="AH3" s="9"/>
      <c r="AI3" s="118"/>
      <c r="AJ3" s="9"/>
      <c r="AK3" s="34"/>
      <c r="AL3" s="32">
        <v>18000</v>
      </c>
      <c r="AM3" s="33"/>
      <c r="AN3" s="33"/>
      <c r="AO3" s="33"/>
    </row>
    <row r="4" spans="1:41" ht="15.75" customHeight="1" x14ac:dyDescent="0.4">
      <c r="A4" s="10" t="s">
        <v>26</v>
      </c>
      <c r="B4" s="4" t="s">
        <v>27</v>
      </c>
      <c r="C4" s="4" t="s">
        <v>28</v>
      </c>
      <c r="D4" s="12"/>
      <c r="E4" s="85">
        <v>35000</v>
      </c>
      <c r="F4" s="85">
        <v>3000</v>
      </c>
      <c r="G4" s="85">
        <v>3000</v>
      </c>
      <c r="H4" s="86"/>
      <c r="I4" s="85">
        <v>0</v>
      </c>
      <c r="J4" s="6">
        <v>41000</v>
      </c>
      <c r="K4" s="7"/>
      <c r="L4" s="7"/>
      <c r="M4" s="7"/>
      <c r="N4" s="7"/>
      <c r="O4" s="105">
        <v>27337.5</v>
      </c>
      <c r="P4" s="7"/>
      <c r="Q4" s="85">
        <f>600*8.75</f>
        <v>5250</v>
      </c>
      <c r="R4" s="11" t="s">
        <v>97</v>
      </c>
      <c r="S4" s="123">
        <v>45885</v>
      </c>
      <c r="T4" s="111">
        <f>750*8.75</f>
        <v>6562.5</v>
      </c>
      <c r="U4" s="15" t="s">
        <v>97</v>
      </c>
      <c r="V4" s="128">
        <v>45969</v>
      </c>
      <c r="W4" s="85">
        <v>1850</v>
      </c>
      <c r="X4" s="6" t="s">
        <v>97</v>
      </c>
      <c r="Y4" s="123">
        <v>45974</v>
      </c>
      <c r="Z4" s="86"/>
      <c r="AA4" s="7"/>
      <c r="AB4" s="132"/>
      <c r="AC4" s="86"/>
      <c r="AD4" s="132"/>
      <c r="AE4" s="8"/>
      <c r="AF4" s="86"/>
      <c r="AG4" s="9"/>
      <c r="AH4" s="9"/>
      <c r="AI4" s="86"/>
      <c r="AJ4" s="9"/>
      <c r="AK4" s="9"/>
      <c r="AL4" s="32">
        <v>13662.5</v>
      </c>
      <c r="AM4" s="33"/>
      <c r="AN4" s="33"/>
      <c r="AO4" s="33"/>
    </row>
    <row r="5" spans="1:41" ht="15.75" customHeight="1" x14ac:dyDescent="0.4">
      <c r="A5" s="10" t="s">
        <v>29</v>
      </c>
      <c r="B5" s="4" t="s">
        <v>30</v>
      </c>
      <c r="C5" s="4" t="s">
        <v>31</v>
      </c>
      <c r="D5" s="12"/>
      <c r="E5" s="85">
        <v>0</v>
      </c>
      <c r="F5" s="85">
        <v>0</v>
      </c>
      <c r="G5" s="85">
        <v>0</v>
      </c>
      <c r="H5" s="86"/>
      <c r="I5" s="85">
        <v>0</v>
      </c>
      <c r="J5" s="6">
        <v>3000</v>
      </c>
      <c r="K5" s="7"/>
      <c r="L5" s="7"/>
      <c r="M5" s="7"/>
      <c r="N5" s="7"/>
      <c r="O5" s="105">
        <v>0</v>
      </c>
      <c r="P5" s="7"/>
      <c r="Q5" s="85">
        <v>3000</v>
      </c>
      <c r="R5" s="11" t="s">
        <v>98</v>
      </c>
      <c r="S5" s="123">
        <v>45937</v>
      </c>
      <c r="T5" s="86"/>
      <c r="U5" s="5"/>
      <c r="V5" s="132"/>
      <c r="W5" s="86"/>
      <c r="X5" s="7"/>
      <c r="Y5" s="132"/>
      <c r="Z5" s="86"/>
      <c r="AA5" s="7"/>
      <c r="AB5" s="132"/>
      <c r="AC5" s="86"/>
      <c r="AD5" s="132"/>
      <c r="AE5" s="8"/>
      <c r="AF5" s="86"/>
      <c r="AG5" s="9"/>
      <c r="AH5" s="9"/>
      <c r="AI5" s="86"/>
      <c r="AJ5" s="9"/>
      <c r="AK5" s="9"/>
      <c r="AL5" s="32">
        <v>3000</v>
      </c>
      <c r="AM5" s="33"/>
      <c r="AN5" s="33"/>
      <c r="AO5" s="33"/>
    </row>
    <row r="6" spans="1:41" ht="15.75" customHeight="1" x14ac:dyDescent="0.4">
      <c r="A6" s="10" t="s">
        <v>32</v>
      </c>
      <c r="B6" s="4" t="s">
        <v>33</v>
      </c>
      <c r="C6" s="4" t="s">
        <v>34</v>
      </c>
      <c r="D6" s="5"/>
      <c r="E6" s="85">
        <v>27000</v>
      </c>
      <c r="F6" s="85">
        <v>3000</v>
      </c>
      <c r="G6" s="85">
        <v>3000</v>
      </c>
      <c r="H6" s="86"/>
      <c r="I6" s="86"/>
      <c r="J6" s="6">
        <v>33000</v>
      </c>
      <c r="K6" s="7"/>
      <c r="L6" s="7"/>
      <c r="M6" s="7"/>
      <c r="N6" s="7"/>
      <c r="O6" s="105">
        <v>21000</v>
      </c>
      <c r="P6" s="7"/>
      <c r="Q6" s="85">
        <v>12000</v>
      </c>
      <c r="R6" s="11" t="s">
        <v>97</v>
      </c>
      <c r="S6" s="123">
        <v>45975</v>
      </c>
      <c r="T6" s="86"/>
      <c r="U6" s="5"/>
      <c r="V6" s="132"/>
      <c r="W6" s="86"/>
      <c r="X6" s="5"/>
      <c r="Y6" s="132"/>
      <c r="Z6" s="86"/>
      <c r="AA6" s="5"/>
      <c r="AB6" s="132"/>
      <c r="AC6" s="86"/>
      <c r="AD6" s="132"/>
      <c r="AE6" s="8"/>
      <c r="AF6" s="86"/>
      <c r="AG6" s="5"/>
      <c r="AH6" s="5"/>
      <c r="AI6" s="86"/>
      <c r="AJ6" s="5"/>
      <c r="AK6" s="5"/>
      <c r="AL6" s="32">
        <v>12000</v>
      </c>
      <c r="AM6" s="33"/>
      <c r="AN6" s="33"/>
      <c r="AO6" s="33"/>
    </row>
    <row r="7" spans="1:41" ht="15.75" customHeight="1" x14ac:dyDescent="0.35">
      <c r="A7" s="36" t="s">
        <v>45</v>
      </c>
      <c r="B7" s="37" t="s">
        <v>46</v>
      </c>
      <c r="C7" s="37" t="s">
        <v>47</v>
      </c>
      <c r="D7" s="12"/>
      <c r="E7" s="87">
        <v>28000</v>
      </c>
      <c r="F7" s="87">
        <v>3000</v>
      </c>
      <c r="G7" s="86"/>
      <c r="H7" s="88"/>
      <c r="I7" s="86"/>
      <c r="J7" s="38">
        <v>31000</v>
      </c>
      <c r="K7" s="39"/>
      <c r="L7" s="39"/>
      <c r="M7" s="39"/>
      <c r="N7" s="39"/>
      <c r="O7" s="106">
        <v>28000</v>
      </c>
      <c r="P7" s="39"/>
      <c r="Q7" s="87">
        <v>3000</v>
      </c>
      <c r="R7" s="14" t="s">
        <v>98</v>
      </c>
      <c r="S7" s="124">
        <v>45978</v>
      </c>
      <c r="T7" s="86"/>
      <c r="U7" s="5"/>
      <c r="V7" s="132"/>
      <c r="W7" s="86"/>
      <c r="X7" s="5"/>
      <c r="Y7" s="132"/>
      <c r="Z7" s="86"/>
      <c r="AA7" s="5"/>
      <c r="AB7" s="132"/>
      <c r="AC7" s="86"/>
      <c r="AD7" s="132"/>
      <c r="AE7" s="8"/>
      <c r="AF7" s="86"/>
      <c r="AG7" s="5"/>
      <c r="AH7" s="5"/>
      <c r="AI7" s="86"/>
      <c r="AJ7" s="5"/>
      <c r="AK7" s="5"/>
      <c r="AL7" s="32">
        <v>3000</v>
      </c>
      <c r="AM7" s="12"/>
      <c r="AN7" s="12"/>
      <c r="AO7" s="12"/>
    </row>
    <row r="8" spans="1:41" ht="15.75" customHeight="1" x14ac:dyDescent="0.35">
      <c r="A8" s="36" t="s">
        <v>48</v>
      </c>
      <c r="B8" s="37" t="s">
        <v>49</v>
      </c>
      <c r="C8" s="37" t="s">
        <v>50</v>
      </c>
      <c r="D8" s="12"/>
      <c r="E8" s="87">
        <v>28000</v>
      </c>
      <c r="F8" s="87">
        <v>3000</v>
      </c>
      <c r="G8" s="86"/>
      <c r="H8" s="88"/>
      <c r="I8" s="86"/>
      <c r="J8" s="38">
        <v>31000</v>
      </c>
      <c r="K8" s="39"/>
      <c r="L8" s="39"/>
      <c r="M8" s="39"/>
      <c r="N8" s="39"/>
      <c r="O8" s="106">
        <v>19000</v>
      </c>
      <c r="P8" s="39"/>
      <c r="Q8" s="87">
        <v>3000</v>
      </c>
      <c r="R8" s="14" t="s">
        <v>98</v>
      </c>
      <c r="S8" s="124">
        <v>45975</v>
      </c>
      <c r="T8" s="87">
        <v>9000</v>
      </c>
      <c r="U8" s="37" t="s">
        <v>102</v>
      </c>
      <c r="V8" s="124">
        <v>46030</v>
      </c>
      <c r="W8" s="86"/>
      <c r="X8" s="5"/>
      <c r="Y8" s="132"/>
      <c r="Z8" s="86"/>
      <c r="AA8" s="5"/>
      <c r="AB8" s="132"/>
      <c r="AC8" s="86"/>
      <c r="AD8" s="132"/>
      <c r="AE8" s="8"/>
      <c r="AF8" s="86"/>
      <c r="AG8" s="5"/>
      <c r="AH8" s="5"/>
      <c r="AI8" s="86"/>
      <c r="AJ8" s="5"/>
      <c r="AK8" s="5"/>
      <c r="AL8" s="32">
        <v>12000</v>
      </c>
      <c r="AM8" s="12"/>
      <c r="AN8" s="12"/>
      <c r="AO8" s="12"/>
    </row>
    <row r="9" spans="1:41" ht="15.75" customHeight="1" x14ac:dyDescent="0.35">
      <c r="A9" s="21" t="s">
        <v>51</v>
      </c>
      <c r="B9" s="22" t="s">
        <v>52</v>
      </c>
      <c r="C9" s="23" t="s">
        <v>53</v>
      </c>
      <c r="D9" s="12"/>
      <c r="E9" s="89">
        <v>29000</v>
      </c>
      <c r="F9" s="90">
        <v>3000</v>
      </c>
      <c r="G9" s="90">
        <v>3000</v>
      </c>
      <c r="H9" s="88"/>
      <c r="I9" s="90"/>
      <c r="J9" s="20">
        <v>35000</v>
      </c>
      <c r="K9" s="39"/>
      <c r="L9" s="39"/>
      <c r="M9" s="39"/>
      <c r="N9" s="39"/>
      <c r="O9" s="106">
        <v>2000</v>
      </c>
      <c r="P9" s="39"/>
      <c r="Q9" s="89">
        <v>3000</v>
      </c>
      <c r="R9" s="14" t="s">
        <v>98</v>
      </c>
      <c r="S9" s="125">
        <v>45916</v>
      </c>
      <c r="T9" s="115">
        <v>30000</v>
      </c>
      <c r="U9" s="14" t="s">
        <v>98</v>
      </c>
      <c r="V9" s="129">
        <v>45944</v>
      </c>
      <c r="W9" s="118"/>
      <c r="X9" s="18"/>
      <c r="Y9" s="142"/>
      <c r="Z9" s="121"/>
      <c r="AA9" s="18"/>
      <c r="AB9" s="143"/>
      <c r="AC9" s="118"/>
      <c r="AD9" s="132"/>
      <c r="AE9" s="27"/>
      <c r="AF9" s="121"/>
      <c r="AG9" s="5"/>
      <c r="AH9" s="34"/>
      <c r="AI9" s="118"/>
      <c r="AJ9" s="5"/>
      <c r="AK9" s="40"/>
      <c r="AL9" s="32">
        <v>33000</v>
      </c>
      <c r="AM9" s="12"/>
      <c r="AN9" s="12"/>
      <c r="AO9" s="12"/>
    </row>
    <row r="10" spans="1:41" ht="15.75" customHeight="1" x14ac:dyDescent="0.35">
      <c r="A10" s="41" t="s">
        <v>54</v>
      </c>
      <c r="B10" s="22" t="s">
        <v>55</v>
      </c>
      <c r="C10" s="14" t="s">
        <v>56</v>
      </c>
      <c r="D10" s="12"/>
      <c r="E10" s="91">
        <v>27000</v>
      </c>
      <c r="F10" s="90">
        <v>3000</v>
      </c>
      <c r="G10" s="90">
        <v>3000</v>
      </c>
      <c r="H10" s="88"/>
      <c r="I10" s="90"/>
      <c r="J10" s="20">
        <v>33000</v>
      </c>
      <c r="K10" s="39"/>
      <c r="L10" s="39"/>
      <c r="M10" s="39"/>
      <c r="N10" s="39"/>
      <c r="O10" s="106">
        <v>21000</v>
      </c>
      <c r="P10" s="39"/>
      <c r="Q10" s="109">
        <v>3000</v>
      </c>
      <c r="R10" s="15" t="s">
        <v>96</v>
      </c>
      <c r="S10" s="125">
        <v>45958</v>
      </c>
      <c r="T10" s="115">
        <v>3000</v>
      </c>
      <c r="U10" s="15" t="s">
        <v>96</v>
      </c>
      <c r="V10" s="129">
        <v>45971</v>
      </c>
      <c r="W10" s="89">
        <v>3000</v>
      </c>
      <c r="X10" s="15" t="s">
        <v>96</v>
      </c>
      <c r="Y10" s="125">
        <v>45993</v>
      </c>
      <c r="Z10" s="115">
        <v>3000</v>
      </c>
      <c r="AA10" s="15" t="s">
        <v>96</v>
      </c>
      <c r="AB10" s="129">
        <v>46035</v>
      </c>
      <c r="AC10" s="118"/>
      <c r="AD10" s="132"/>
      <c r="AE10" s="27"/>
      <c r="AF10" s="121"/>
      <c r="AG10" s="5"/>
      <c r="AH10" s="42"/>
      <c r="AI10" s="118"/>
      <c r="AJ10" s="5"/>
      <c r="AK10" s="43"/>
      <c r="AL10" s="32">
        <v>12000</v>
      </c>
      <c r="AM10" s="12"/>
      <c r="AN10" s="12"/>
      <c r="AO10" s="12"/>
    </row>
    <row r="11" spans="1:41" ht="15.75" customHeight="1" x14ac:dyDescent="0.35">
      <c r="A11" s="36" t="s">
        <v>61</v>
      </c>
      <c r="B11" s="15" t="s">
        <v>62</v>
      </c>
      <c r="C11" s="15" t="s">
        <v>36</v>
      </c>
      <c r="D11" s="44" t="s">
        <v>58</v>
      </c>
      <c r="E11" s="92">
        <v>30000</v>
      </c>
      <c r="F11" s="92">
        <v>3000</v>
      </c>
      <c r="G11" s="93"/>
      <c r="H11" s="88"/>
      <c r="I11" s="93"/>
      <c r="J11" s="45">
        <v>33000</v>
      </c>
      <c r="K11" s="39"/>
      <c r="L11" s="39"/>
      <c r="M11" s="39"/>
      <c r="N11" s="39"/>
      <c r="O11" s="106">
        <v>30000</v>
      </c>
      <c r="P11" s="39"/>
      <c r="Q11" s="94">
        <v>3000</v>
      </c>
      <c r="R11" s="15" t="s">
        <v>96</v>
      </c>
      <c r="S11" s="126">
        <v>45989</v>
      </c>
      <c r="T11" s="86"/>
      <c r="U11" s="5"/>
      <c r="V11" s="132"/>
      <c r="W11" s="86"/>
      <c r="X11" s="5"/>
      <c r="Y11" s="132"/>
      <c r="Z11" s="86"/>
      <c r="AA11" s="5"/>
      <c r="AB11" s="132"/>
      <c r="AC11" s="86"/>
      <c r="AD11" s="132"/>
      <c r="AE11" s="8"/>
      <c r="AF11" s="86"/>
      <c r="AG11" s="5"/>
      <c r="AH11" s="5"/>
      <c r="AI11" s="86"/>
      <c r="AJ11" s="5"/>
      <c r="AK11" s="5"/>
      <c r="AL11" s="32">
        <v>3000</v>
      </c>
      <c r="AM11" s="12"/>
      <c r="AN11" s="12"/>
      <c r="AO11" s="12"/>
    </row>
    <row r="12" spans="1:41" ht="15.75" customHeight="1" x14ac:dyDescent="0.35">
      <c r="A12" s="36" t="s">
        <v>63</v>
      </c>
      <c r="B12" s="47" t="s">
        <v>64</v>
      </c>
      <c r="C12" s="48"/>
      <c r="D12" s="12"/>
      <c r="E12" s="92">
        <v>30000</v>
      </c>
      <c r="F12" s="94">
        <v>3000</v>
      </c>
      <c r="G12" s="95">
        <v>0</v>
      </c>
      <c r="H12" s="88"/>
      <c r="I12" s="95"/>
      <c r="J12" s="50">
        <v>33000</v>
      </c>
      <c r="K12" s="39"/>
      <c r="L12" s="39"/>
      <c r="M12" s="39"/>
      <c r="N12" s="39"/>
      <c r="O12" s="106">
        <v>24000</v>
      </c>
      <c r="P12" s="39"/>
      <c r="Q12" s="110">
        <v>3000</v>
      </c>
      <c r="R12" s="49" t="s">
        <v>99</v>
      </c>
      <c r="S12" s="127">
        <v>45968</v>
      </c>
      <c r="T12" s="110">
        <v>3000</v>
      </c>
      <c r="U12" s="51" t="s">
        <v>100</v>
      </c>
      <c r="V12" s="138">
        <v>45994</v>
      </c>
      <c r="W12" s="119">
        <v>3000</v>
      </c>
      <c r="X12" s="51" t="s">
        <v>100</v>
      </c>
      <c r="Y12" s="138">
        <v>46029</v>
      </c>
      <c r="Z12" s="117"/>
      <c r="AA12" s="51"/>
      <c r="AB12" s="140"/>
      <c r="AC12" s="93"/>
      <c r="AD12" s="140"/>
      <c r="AE12" s="52"/>
      <c r="AF12" s="93"/>
      <c r="AG12" s="51"/>
      <c r="AH12" s="51"/>
      <c r="AI12" s="93"/>
      <c r="AJ12" s="51"/>
      <c r="AK12" s="51"/>
      <c r="AL12" s="32">
        <v>9000</v>
      </c>
      <c r="AM12" s="12"/>
      <c r="AN12" s="12"/>
      <c r="AO12" s="12"/>
    </row>
    <row r="13" spans="1:41" ht="15.75" customHeight="1" x14ac:dyDescent="0.35">
      <c r="A13" s="36" t="s">
        <v>65</v>
      </c>
      <c r="B13" s="53" t="s">
        <v>66</v>
      </c>
      <c r="C13" s="54" t="s">
        <v>67</v>
      </c>
      <c r="D13" s="12"/>
      <c r="E13" s="86"/>
      <c r="F13" s="86"/>
      <c r="G13" s="86"/>
      <c r="H13" s="88"/>
      <c r="I13" s="86"/>
      <c r="J13" s="5"/>
      <c r="K13" s="39"/>
      <c r="L13" s="39"/>
      <c r="M13" s="39"/>
      <c r="N13" s="39"/>
      <c r="O13" s="106">
        <v>-3000</v>
      </c>
      <c r="P13" s="39"/>
      <c r="Q13" s="111">
        <v>3000</v>
      </c>
      <c r="R13" s="15" t="s">
        <v>99</v>
      </c>
      <c r="S13" s="128">
        <v>45978</v>
      </c>
      <c r="T13" s="86"/>
      <c r="U13" s="5"/>
      <c r="V13" s="132"/>
      <c r="W13" s="86"/>
      <c r="X13" s="5"/>
      <c r="Y13" s="132"/>
      <c r="Z13" s="86"/>
      <c r="AA13" s="5"/>
      <c r="AB13" s="132"/>
      <c r="AC13" s="86"/>
      <c r="AD13" s="132"/>
      <c r="AE13" s="8"/>
      <c r="AF13" s="86"/>
      <c r="AG13" s="5"/>
      <c r="AH13" s="5"/>
      <c r="AI13" s="86"/>
      <c r="AJ13" s="5"/>
      <c r="AK13" s="55"/>
      <c r="AL13" s="32">
        <v>3000</v>
      </c>
      <c r="AM13" s="12"/>
      <c r="AN13" s="12"/>
      <c r="AO13" s="12"/>
    </row>
    <row r="14" spans="1:41" ht="15.75" customHeight="1" x14ac:dyDescent="0.25">
      <c r="A14" s="36" t="s">
        <v>68</v>
      </c>
      <c r="B14" s="5" t="s">
        <v>69</v>
      </c>
      <c r="C14" s="5" t="s">
        <v>70</v>
      </c>
      <c r="D14" s="12"/>
      <c r="E14" s="96">
        <v>25000</v>
      </c>
      <c r="F14" s="96">
        <v>3000</v>
      </c>
      <c r="G14" s="86"/>
      <c r="H14" s="88"/>
      <c r="I14" s="86"/>
      <c r="J14" s="56">
        <v>28000</v>
      </c>
      <c r="K14" s="39"/>
      <c r="L14" s="39"/>
      <c r="M14" s="39"/>
      <c r="N14" s="39"/>
      <c r="O14" s="107"/>
      <c r="P14" s="39"/>
      <c r="Q14" s="111">
        <v>3000</v>
      </c>
      <c r="R14" s="15" t="s">
        <v>99</v>
      </c>
      <c r="S14" s="128">
        <v>45992</v>
      </c>
      <c r="T14" s="86"/>
      <c r="U14" s="5"/>
      <c r="V14" s="132"/>
      <c r="W14" s="86"/>
      <c r="X14" s="5"/>
      <c r="Y14" s="132"/>
      <c r="Z14" s="86"/>
      <c r="AA14" s="5"/>
      <c r="AB14" s="132"/>
      <c r="AC14" s="86"/>
      <c r="AD14" s="132"/>
      <c r="AE14" s="8"/>
      <c r="AF14" s="86"/>
      <c r="AG14" s="5"/>
      <c r="AH14" s="5"/>
      <c r="AI14" s="86"/>
      <c r="AJ14" s="5"/>
      <c r="AK14" s="57"/>
      <c r="AL14" s="33"/>
      <c r="AM14" s="12"/>
      <c r="AN14" s="12"/>
      <c r="AO14" s="12"/>
    </row>
    <row r="15" spans="1:41" ht="15.75" customHeight="1" x14ac:dyDescent="0.35">
      <c r="A15" s="36" t="s">
        <v>72</v>
      </c>
      <c r="B15" s="16" t="s">
        <v>71</v>
      </c>
      <c r="C15" s="28" t="s">
        <v>73</v>
      </c>
      <c r="D15" s="12"/>
      <c r="E15" s="89">
        <v>50000</v>
      </c>
      <c r="F15" s="90">
        <v>3000</v>
      </c>
      <c r="G15" s="90"/>
      <c r="H15" s="88"/>
      <c r="I15" s="90"/>
      <c r="J15" s="58">
        <v>53000</v>
      </c>
      <c r="K15" s="39"/>
      <c r="L15" s="39"/>
      <c r="M15" s="39"/>
      <c r="N15" s="39"/>
      <c r="O15" s="106">
        <v>33775</v>
      </c>
      <c r="P15" s="39"/>
      <c r="Q15" s="112">
        <f>300*10.75</f>
        <v>3225</v>
      </c>
      <c r="R15" s="59" t="s">
        <v>99</v>
      </c>
      <c r="S15" s="129">
        <v>45947</v>
      </c>
      <c r="T15" s="116">
        <v>16000</v>
      </c>
      <c r="U15" s="24" t="s">
        <v>101</v>
      </c>
      <c r="V15" s="139">
        <v>46014</v>
      </c>
      <c r="W15" s="120"/>
      <c r="X15" s="60"/>
      <c r="Y15" s="142"/>
      <c r="Z15" s="121"/>
      <c r="AA15" s="26"/>
      <c r="AB15" s="143"/>
      <c r="AC15" s="118"/>
      <c r="AD15" s="132"/>
      <c r="AE15" s="27"/>
      <c r="AF15" s="121"/>
      <c r="AG15" s="26"/>
      <c r="AH15" s="34"/>
      <c r="AI15" s="118"/>
      <c r="AJ15" s="5"/>
      <c r="AK15" s="42"/>
      <c r="AL15" s="32">
        <v>19225</v>
      </c>
      <c r="AM15" s="12"/>
      <c r="AN15" s="12"/>
      <c r="AO15" s="12"/>
    </row>
    <row r="16" spans="1:41" ht="15.75" customHeight="1" x14ac:dyDescent="0.35">
      <c r="A16" s="36" t="s">
        <v>76</v>
      </c>
      <c r="B16" s="16" t="s">
        <v>77</v>
      </c>
      <c r="C16" s="28" t="s">
        <v>78</v>
      </c>
      <c r="D16" s="12"/>
      <c r="E16" s="90">
        <v>50000</v>
      </c>
      <c r="F16" s="90">
        <v>3000</v>
      </c>
      <c r="G16" s="90">
        <v>3000</v>
      </c>
      <c r="H16" s="88"/>
      <c r="I16" s="90"/>
      <c r="J16" s="17">
        <v>56000</v>
      </c>
      <c r="K16" s="39"/>
      <c r="L16" s="39"/>
      <c r="M16" s="39"/>
      <c r="N16" s="39"/>
      <c r="O16" s="106">
        <v>33793</v>
      </c>
      <c r="P16" s="39"/>
      <c r="Q16" s="90">
        <v>7270</v>
      </c>
      <c r="R16" s="17" t="s">
        <v>96</v>
      </c>
      <c r="S16" s="130">
        <v>45944</v>
      </c>
      <c r="T16" s="90">
        <v>7437</v>
      </c>
      <c r="U16" s="25" t="s">
        <v>98</v>
      </c>
      <c r="V16" s="130">
        <v>45931</v>
      </c>
      <c r="W16" s="90">
        <v>7500</v>
      </c>
      <c r="X16" s="17" t="s">
        <v>96</v>
      </c>
      <c r="Y16" s="130">
        <v>45994</v>
      </c>
      <c r="Z16" s="86"/>
      <c r="AA16" s="26"/>
      <c r="AB16" s="132"/>
      <c r="AC16" s="86"/>
      <c r="AD16" s="132"/>
      <c r="AE16" s="8"/>
      <c r="AF16" s="86"/>
      <c r="AG16" s="26"/>
      <c r="AH16" s="9"/>
      <c r="AI16" s="86"/>
      <c r="AJ16" s="5"/>
      <c r="AK16" s="9"/>
      <c r="AL16" s="32">
        <v>22207</v>
      </c>
      <c r="AM16" s="12"/>
      <c r="AN16" s="12"/>
      <c r="AO16" s="12"/>
    </row>
    <row r="17" spans="1:41" ht="15.75" customHeight="1" x14ac:dyDescent="0.35">
      <c r="A17" s="36" t="s">
        <v>79</v>
      </c>
      <c r="B17" s="61" t="s">
        <v>80</v>
      </c>
      <c r="C17" s="62" t="s">
        <v>81</v>
      </c>
      <c r="D17" s="12"/>
      <c r="E17" s="97">
        <v>50000</v>
      </c>
      <c r="F17" s="97">
        <v>3000</v>
      </c>
      <c r="G17" s="93"/>
      <c r="H17" s="88"/>
      <c r="I17" s="93"/>
      <c r="J17" s="63">
        <v>53000</v>
      </c>
      <c r="K17" s="39"/>
      <c r="L17" s="39"/>
      <c r="M17" s="39"/>
      <c r="N17" s="39"/>
      <c r="O17" s="106">
        <v>36929</v>
      </c>
      <c r="P17" s="39"/>
      <c r="Q17" s="95">
        <v>16071</v>
      </c>
      <c r="R17" s="63"/>
      <c r="S17" s="131">
        <v>45972</v>
      </c>
      <c r="T17" s="117"/>
      <c r="U17" s="46"/>
      <c r="V17" s="140"/>
      <c r="W17" s="117"/>
      <c r="X17" s="64"/>
      <c r="Y17" s="140"/>
      <c r="Z17" s="117"/>
      <c r="AA17" s="46"/>
      <c r="AB17" s="140"/>
      <c r="AC17" s="117"/>
      <c r="AD17" s="140"/>
      <c r="AE17" s="52"/>
      <c r="AF17" s="117"/>
      <c r="AG17" s="46"/>
      <c r="AH17" s="65"/>
      <c r="AI17" s="117"/>
      <c r="AJ17" s="51"/>
      <c r="AK17" s="65"/>
      <c r="AL17" s="32">
        <v>16071</v>
      </c>
      <c r="AM17" s="12"/>
      <c r="AN17" s="12"/>
      <c r="AO17" s="12"/>
    </row>
    <row r="18" spans="1:41" ht="15.75" customHeight="1" x14ac:dyDescent="0.35">
      <c r="A18" s="36" t="s">
        <v>82</v>
      </c>
      <c r="B18" s="16" t="s">
        <v>83</v>
      </c>
      <c r="C18" s="28" t="s">
        <v>84</v>
      </c>
      <c r="D18" s="12"/>
      <c r="E18" s="90"/>
      <c r="F18" s="90">
        <v>3000</v>
      </c>
      <c r="G18" s="86"/>
      <c r="H18" s="88"/>
      <c r="I18" s="86"/>
      <c r="J18" s="17">
        <v>3000</v>
      </c>
      <c r="K18" s="39"/>
      <c r="L18" s="39"/>
      <c r="M18" s="39"/>
      <c r="N18" s="39"/>
      <c r="O18" s="106">
        <v>3000</v>
      </c>
      <c r="P18" s="39"/>
      <c r="Q18" s="86"/>
      <c r="R18" s="18"/>
      <c r="S18" s="132"/>
      <c r="T18" s="86"/>
      <c r="U18" s="26"/>
      <c r="V18" s="132"/>
      <c r="W18" s="86"/>
      <c r="X18" s="18"/>
      <c r="Y18" s="132"/>
      <c r="Z18" s="86"/>
      <c r="AA18" s="26"/>
      <c r="AB18" s="132"/>
      <c r="AC18" s="86"/>
      <c r="AD18" s="132"/>
      <c r="AE18" s="8"/>
      <c r="AF18" s="86"/>
      <c r="AG18" s="26"/>
      <c r="AH18" s="9"/>
      <c r="AI18" s="86"/>
      <c r="AJ18" s="5"/>
      <c r="AK18" s="9"/>
      <c r="AL18" s="32">
        <v>0</v>
      </c>
      <c r="AM18" s="12"/>
      <c r="AN18" s="12"/>
      <c r="AO18" s="12"/>
    </row>
    <row r="19" spans="1:41" ht="15.75" customHeight="1" x14ac:dyDescent="0.35">
      <c r="A19" s="36" t="s">
        <v>85</v>
      </c>
      <c r="B19" s="16" t="s">
        <v>86</v>
      </c>
      <c r="C19" s="28" t="s">
        <v>87</v>
      </c>
      <c r="D19" s="12"/>
      <c r="E19" s="90">
        <v>35000</v>
      </c>
      <c r="F19" s="90">
        <v>3000</v>
      </c>
      <c r="G19" s="90"/>
      <c r="H19" s="88"/>
      <c r="I19" s="90"/>
      <c r="J19" s="17">
        <v>38000</v>
      </c>
      <c r="K19" s="39"/>
      <c r="L19" s="39"/>
      <c r="M19" s="39"/>
      <c r="N19" s="39"/>
      <c r="O19" s="106">
        <v>24500</v>
      </c>
      <c r="P19" s="39"/>
      <c r="Q19" s="90">
        <v>3000</v>
      </c>
      <c r="R19" s="17" t="s">
        <v>96</v>
      </c>
      <c r="S19" s="130">
        <v>45911</v>
      </c>
      <c r="T19" s="90">
        <v>7000</v>
      </c>
      <c r="U19" s="25" t="s">
        <v>96</v>
      </c>
      <c r="V19" s="130">
        <v>45974</v>
      </c>
      <c r="W19" s="90">
        <v>3500</v>
      </c>
      <c r="X19" s="17" t="s">
        <v>96</v>
      </c>
      <c r="Y19" s="130">
        <v>46025</v>
      </c>
      <c r="Z19" s="86"/>
      <c r="AA19" s="26"/>
      <c r="AB19" s="132"/>
      <c r="AC19" s="86"/>
      <c r="AD19" s="132"/>
      <c r="AE19" s="8"/>
      <c r="AF19" s="86"/>
      <c r="AG19" s="26"/>
      <c r="AH19" s="9"/>
      <c r="AI19" s="86"/>
      <c r="AJ19" s="5"/>
      <c r="AK19" s="5"/>
      <c r="AL19" s="32">
        <v>13500</v>
      </c>
      <c r="AM19" s="12"/>
      <c r="AN19" s="12"/>
      <c r="AO19" s="12"/>
    </row>
    <row r="20" spans="1:41" ht="18" x14ac:dyDescent="0.35">
      <c r="A20" s="36" t="s">
        <v>39</v>
      </c>
      <c r="B20" s="22" t="s">
        <v>40</v>
      </c>
      <c r="C20" s="14" t="s">
        <v>41</v>
      </c>
      <c r="D20" s="12" t="s">
        <v>38</v>
      </c>
      <c r="E20" s="98">
        <v>24000</v>
      </c>
      <c r="F20" s="99">
        <v>3000</v>
      </c>
      <c r="G20" s="99">
        <v>3000</v>
      </c>
      <c r="H20" s="86"/>
      <c r="I20" s="99"/>
      <c r="J20" s="19">
        <v>30000</v>
      </c>
      <c r="K20" s="39"/>
      <c r="L20" s="39"/>
      <c r="M20" s="39"/>
      <c r="N20" s="39"/>
      <c r="O20" s="106">
        <v>24000</v>
      </c>
      <c r="P20" s="39"/>
      <c r="Q20" s="113">
        <v>3000</v>
      </c>
      <c r="R20" s="66" t="s">
        <v>98</v>
      </c>
      <c r="S20" s="133">
        <v>45965</v>
      </c>
      <c r="T20" s="113">
        <v>3000</v>
      </c>
      <c r="U20" s="67" t="s">
        <v>98</v>
      </c>
      <c r="V20" s="141">
        <v>45992</v>
      </c>
      <c r="W20" s="118"/>
      <c r="X20" s="18"/>
      <c r="Y20" s="143"/>
      <c r="Z20" s="118"/>
      <c r="AA20" s="18"/>
      <c r="AB20" s="143"/>
      <c r="AC20" s="118"/>
      <c r="AD20" s="132"/>
      <c r="AE20" s="13"/>
      <c r="AF20" s="118"/>
      <c r="AG20" s="5"/>
      <c r="AH20" s="42"/>
      <c r="AI20" s="118"/>
      <c r="AJ20" s="5"/>
      <c r="AK20" s="42"/>
      <c r="AL20" s="32">
        <v>6000</v>
      </c>
      <c r="AM20" s="12"/>
      <c r="AN20" s="12"/>
      <c r="AO20" s="12"/>
    </row>
    <row r="21" spans="1:41" ht="18" x14ac:dyDescent="0.35">
      <c r="A21" s="36" t="s">
        <v>42</v>
      </c>
      <c r="B21" s="68" t="s">
        <v>43</v>
      </c>
      <c r="C21" s="37" t="s">
        <v>44</v>
      </c>
      <c r="D21" s="12" t="s">
        <v>38</v>
      </c>
      <c r="E21" s="96">
        <v>27000</v>
      </c>
      <c r="F21" s="96">
        <v>3000</v>
      </c>
      <c r="G21" s="96">
        <v>3000</v>
      </c>
      <c r="H21" s="86"/>
      <c r="I21" s="86"/>
      <c r="J21" s="56">
        <v>33000</v>
      </c>
      <c r="K21" s="39"/>
      <c r="L21" s="39"/>
      <c r="M21" s="39"/>
      <c r="N21" s="39"/>
      <c r="O21" s="106">
        <v>21000</v>
      </c>
      <c r="P21" s="39"/>
      <c r="Q21" s="96">
        <v>3000</v>
      </c>
      <c r="R21" s="12" t="s">
        <v>97</v>
      </c>
      <c r="S21" s="128">
        <v>45993</v>
      </c>
      <c r="T21" s="96">
        <v>9000</v>
      </c>
      <c r="U21" s="12" t="s">
        <v>97</v>
      </c>
      <c r="V21" s="135">
        <v>46017</v>
      </c>
      <c r="W21" s="86"/>
      <c r="X21" s="5"/>
      <c r="Y21" s="132"/>
      <c r="Z21" s="86"/>
      <c r="AA21" s="5"/>
      <c r="AB21" s="132"/>
      <c r="AC21" s="86"/>
      <c r="AD21" s="132"/>
      <c r="AE21" s="8"/>
      <c r="AF21" s="86"/>
      <c r="AG21" s="5"/>
      <c r="AH21" s="5"/>
      <c r="AI21" s="86"/>
      <c r="AJ21" s="5"/>
      <c r="AK21" s="5"/>
      <c r="AL21" s="32">
        <v>12000</v>
      </c>
      <c r="AM21" s="12"/>
      <c r="AN21" s="12"/>
      <c r="AO21" s="12"/>
    </row>
    <row r="22" spans="1:41" ht="18" x14ac:dyDescent="0.35">
      <c r="A22" s="36" t="s">
        <v>59</v>
      </c>
      <c r="B22" s="69" t="s">
        <v>60</v>
      </c>
      <c r="C22" s="70" t="s">
        <v>57</v>
      </c>
      <c r="D22" s="44" t="s">
        <v>58</v>
      </c>
      <c r="E22" s="100">
        <v>27000</v>
      </c>
      <c r="F22" s="100">
        <v>3000</v>
      </c>
      <c r="G22" s="93"/>
      <c r="H22" s="88"/>
      <c r="I22" s="93"/>
      <c r="J22" s="71">
        <v>30000</v>
      </c>
      <c r="K22" s="39"/>
      <c r="L22" s="39"/>
      <c r="M22" s="39"/>
      <c r="N22" s="39"/>
      <c r="O22" s="106">
        <v>27000</v>
      </c>
      <c r="P22" s="39"/>
      <c r="Q22" s="94">
        <v>3000</v>
      </c>
      <c r="R22" s="15" t="s">
        <v>96</v>
      </c>
      <c r="S22" s="127">
        <v>45988</v>
      </c>
      <c r="T22" s="93"/>
      <c r="U22" s="51"/>
      <c r="V22" s="140"/>
      <c r="W22" s="93"/>
      <c r="X22" s="51"/>
      <c r="Y22" s="140"/>
      <c r="Z22" s="93"/>
      <c r="AA22" s="51"/>
      <c r="AB22" s="140"/>
      <c r="AC22" s="93"/>
      <c r="AD22" s="140"/>
      <c r="AE22" s="52"/>
      <c r="AF22" s="93"/>
      <c r="AG22" s="51"/>
      <c r="AH22" s="51"/>
      <c r="AI22" s="93"/>
      <c r="AJ22" s="51"/>
      <c r="AK22" s="51"/>
      <c r="AL22" s="32">
        <v>3000</v>
      </c>
      <c r="AM22" s="12"/>
      <c r="AN22" s="12"/>
      <c r="AO22" s="12"/>
    </row>
    <row r="23" spans="1:41" ht="18" x14ac:dyDescent="0.35">
      <c r="A23" s="72" t="s">
        <v>74</v>
      </c>
      <c r="B23" s="73"/>
      <c r="C23" s="74" t="s">
        <v>75</v>
      </c>
      <c r="D23" s="75" t="s">
        <v>37</v>
      </c>
      <c r="E23" s="101"/>
      <c r="F23" s="101"/>
      <c r="G23" s="101"/>
      <c r="H23" s="102"/>
      <c r="I23" s="101"/>
      <c r="J23" s="78">
        <v>48000</v>
      </c>
      <c r="K23" s="79"/>
      <c r="L23" s="79"/>
      <c r="M23" s="79"/>
      <c r="N23" s="79"/>
      <c r="O23" s="108"/>
      <c r="P23" s="79"/>
      <c r="Q23" s="114"/>
      <c r="R23" s="76"/>
      <c r="S23" s="134"/>
      <c r="T23" s="114"/>
      <c r="U23" s="81"/>
      <c r="V23" s="134"/>
      <c r="W23" s="114"/>
      <c r="X23" s="76"/>
      <c r="Y23" s="134"/>
      <c r="Z23" s="114"/>
      <c r="AA23" s="81"/>
      <c r="AB23" s="134"/>
      <c r="AC23" s="114"/>
      <c r="AD23" s="134"/>
      <c r="AE23" s="80"/>
      <c r="AF23" s="114"/>
      <c r="AG23" s="81"/>
      <c r="AH23" s="82"/>
      <c r="AI23" s="114"/>
      <c r="AJ23" s="82"/>
      <c r="AK23" s="82"/>
      <c r="AL23" s="35">
        <v>0</v>
      </c>
      <c r="AM23" s="77"/>
      <c r="AN23" s="77"/>
      <c r="AO23" s="77"/>
    </row>
    <row r="24" spans="1:41" ht="18" x14ac:dyDescent="0.35">
      <c r="A24" s="36" t="s">
        <v>91</v>
      </c>
      <c r="B24" s="15" t="s">
        <v>92</v>
      </c>
      <c r="C24" s="15" t="s">
        <v>35</v>
      </c>
      <c r="D24" s="12"/>
      <c r="E24" s="96">
        <v>35000</v>
      </c>
      <c r="F24" s="96">
        <v>3000</v>
      </c>
      <c r="G24" s="86"/>
      <c r="H24" s="88"/>
      <c r="I24" s="86"/>
      <c r="J24" s="56">
        <v>38000</v>
      </c>
      <c r="K24" s="39"/>
      <c r="L24" s="39"/>
      <c r="M24" s="39"/>
      <c r="N24" s="39"/>
      <c r="O24" s="106">
        <v>35000</v>
      </c>
      <c r="P24" s="39"/>
      <c r="Q24" s="96">
        <v>3000</v>
      </c>
      <c r="R24" s="5" t="s">
        <v>99</v>
      </c>
      <c r="S24" s="135">
        <v>45989</v>
      </c>
      <c r="T24" s="86"/>
      <c r="U24" s="5"/>
      <c r="V24" s="132"/>
      <c r="W24" s="86"/>
      <c r="X24" s="5"/>
      <c r="Y24" s="132"/>
      <c r="Z24" s="86"/>
      <c r="AA24" s="5"/>
      <c r="AB24" s="132"/>
      <c r="AC24" s="86"/>
      <c r="AD24" s="132"/>
      <c r="AE24" s="8"/>
      <c r="AF24" s="86"/>
      <c r="AG24" s="5"/>
      <c r="AH24" s="5"/>
      <c r="AI24" s="86"/>
      <c r="AJ24" s="5"/>
      <c r="AK24" s="5"/>
      <c r="AL24" s="32">
        <v>3000</v>
      </c>
      <c r="AM24" s="12"/>
      <c r="AN24" s="12"/>
      <c r="AO24" s="12"/>
    </row>
    <row r="25" spans="1:41" ht="18" x14ac:dyDescent="0.35">
      <c r="A25" s="36" t="s">
        <v>88</v>
      </c>
      <c r="B25" s="16" t="s">
        <v>89</v>
      </c>
      <c r="C25" s="28" t="s">
        <v>90</v>
      </c>
      <c r="D25" s="12"/>
      <c r="E25" s="90">
        <v>35000</v>
      </c>
      <c r="F25" s="90">
        <v>3000</v>
      </c>
      <c r="G25" s="90"/>
      <c r="H25" s="88"/>
      <c r="I25" s="90"/>
      <c r="J25" s="17">
        <v>38000</v>
      </c>
      <c r="K25" s="39"/>
      <c r="L25" s="39"/>
      <c r="M25" s="39"/>
      <c r="N25" s="39"/>
      <c r="O25" s="106">
        <v>28000</v>
      </c>
      <c r="P25" s="39"/>
      <c r="Q25" s="90">
        <v>3000</v>
      </c>
      <c r="R25" s="17" t="s">
        <v>98</v>
      </c>
      <c r="S25" s="130">
        <v>45964</v>
      </c>
      <c r="T25" s="90">
        <v>3500</v>
      </c>
      <c r="U25" s="25" t="s">
        <v>98</v>
      </c>
      <c r="V25" s="130">
        <v>46000</v>
      </c>
      <c r="W25" s="90">
        <v>3500</v>
      </c>
      <c r="X25" s="17" t="s">
        <v>98</v>
      </c>
      <c r="Y25" s="130">
        <v>46028</v>
      </c>
      <c r="Z25" s="86"/>
      <c r="AA25" s="26"/>
      <c r="AB25" s="132"/>
      <c r="AC25" s="86"/>
      <c r="AD25" s="132"/>
      <c r="AE25" s="8"/>
      <c r="AF25" s="86"/>
      <c r="AG25" s="26"/>
      <c r="AH25" s="9"/>
      <c r="AI25" s="86"/>
      <c r="AJ25" s="5"/>
      <c r="AK25" s="5"/>
      <c r="AL25" s="32">
        <v>10000</v>
      </c>
      <c r="AM25" s="12"/>
      <c r="AN25" s="12"/>
      <c r="AO25" s="12"/>
    </row>
    <row r="26" spans="1:41" ht="18" x14ac:dyDescent="0.35">
      <c r="A26" s="36" t="s">
        <v>93</v>
      </c>
      <c r="B26" s="15" t="s">
        <v>94</v>
      </c>
      <c r="C26" s="15" t="s">
        <v>95</v>
      </c>
      <c r="D26" s="12"/>
      <c r="E26" s="96">
        <v>35000</v>
      </c>
      <c r="F26" s="96">
        <v>3000</v>
      </c>
      <c r="G26" s="86"/>
      <c r="H26" s="88"/>
      <c r="I26" s="86"/>
      <c r="J26" s="56">
        <v>38000</v>
      </c>
      <c r="K26" s="39"/>
      <c r="L26" s="39"/>
      <c r="M26" s="39"/>
      <c r="N26" s="39"/>
      <c r="O26" s="106">
        <v>15000</v>
      </c>
      <c r="P26" s="39"/>
      <c r="Q26" s="96">
        <v>3000</v>
      </c>
      <c r="R26" s="5" t="s">
        <v>96</v>
      </c>
      <c r="S26" s="135">
        <v>45993</v>
      </c>
      <c r="T26" s="96">
        <v>20000</v>
      </c>
      <c r="U26" s="5" t="s">
        <v>96</v>
      </c>
      <c r="V26" s="135">
        <v>46014</v>
      </c>
      <c r="W26" s="86"/>
      <c r="X26" s="5"/>
      <c r="Y26" s="132"/>
      <c r="Z26" s="86"/>
      <c r="AA26" s="5"/>
      <c r="AB26" s="132"/>
      <c r="AC26" s="86"/>
      <c r="AD26" s="132"/>
      <c r="AE26" s="8"/>
      <c r="AF26" s="86"/>
      <c r="AG26" s="5"/>
      <c r="AH26" s="5"/>
      <c r="AI26" s="86"/>
      <c r="AJ26" s="5"/>
      <c r="AK26" s="5"/>
      <c r="AL26" s="32">
        <v>23000</v>
      </c>
      <c r="AM26" s="12"/>
      <c r="AN26" s="12"/>
      <c r="AO26" s="12"/>
    </row>
    <row r="27" spans="1:41" ht="12.75" x14ac:dyDescent="0.2">
      <c r="A27" s="83"/>
      <c r="B27" s="83"/>
      <c r="C27" s="83"/>
      <c r="D27" s="83"/>
      <c r="E27" s="103"/>
      <c r="F27" s="103"/>
      <c r="G27" s="103"/>
      <c r="H27" s="103"/>
      <c r="I27" s="103"/>
      <c r="J27" s="83"/>
      <c r="K27" s="83"/>
      <c r="L27" s="83"/>
      <c r="M27" s="83"/>
      <c r="N27" s="83"/>
      <c r="O27" s="103"/>
      <c r="P27" s="83"/>
      <c r="Q27" s="103"/>
      <c r="R27" s="83"/>
      <c r="S27" s="136"/>
      <c r="T27" s="103"/>
      <c r="U27" s="83"/>
      <c r="V27" s="136"/>
      <c r="W27" s="103"/>
      <c r="X27" s="83"/>
      <c r="Y27" s="136"/>
      <c r="Z27" s="103"/>
      <c r="AA27" s="83"/>
      <c r="AB27" s="136"/>
      <c r="AC27" s="103"/>
      <c r="AD27" s="136"/>
      <c r="AE27" s="83"/>
      <c r="AF27" s="103"/>
      <c r="AG27" s="83"/>
      <c r="AH27" s="83"/>
      <c r="AI27" s="103"/>
      <c r="AJ27" s="83"/>
      <c r="AK27" s="83"/>
      <c r="AL27" s="83"/>
      <c r="AM27" s="83"/>
      <c r="AN27" s="83"/>
      <c r="AO27" s="83"/>
    </row>
    <row r="28" spans="1:41" ht="12.75" x14ac:dyDescent="0.2">
      <c r="A28" s="83"/>
      <c r="B28" s="83"/>
      <c r="C28" s="83"/>
      <c r="D28" s="83"/>
      <c r="E28" s="103"/>
      <c r="F28" s="103"/>
      <c r="G28" s="103"/>
      <c r="H28" s="103"/>
      <c r="I28" s="103"/>
      <c r="J28" s="83"/>
      <c r="K28" s="83"/>
      <c r="L28" s="83"/>
      <c r="M28" s="83"/>
      <c r="N28" s="83"/>
      <c r="O28" s="103"/>
      <c r="P28" s="83"/>
      <c r="Q28" s="103"/>
      <c r="R28" s="83"/>
      <c r="S28" s="136"/>
      <c r="T28" s="103"/>
      <c r="U28" s="83"/>
      <c r="V28" s="136"/>
      <c r="W28" s="103"/>
      <c r="X28" s="83"/>
      <c r="Y28" s="136"/>
      <c r="Z28" s="103"/>
      <c r="AA28" s="83"/>
      <c r="AB28" s="136"/>
      <c r="AC28" s="103"/>
      <c r="AD28" s="136"/>
      <c r="AE28" s="83"/>
      <c r="AF28" s="103"/>
      <c r="AG28" s="83"/>
      <c r="AH28" s="83"/>
      <c r="AI28" s="103"/>
      <c r="AJ28" s="83"/>
      <c r="AK28" s="83"/>
      <c r="AL28" s="83"/>
      <c r="AM28" s="83"/>
      <c r="AN28" s="83"/>
      <c r="AO28" s="83"/>
    </row>
    <row r="29" spans="1:41" ht="12.75" x14ac:dyDescent="0.2">
      <c r="A29" s="83"/>
      <c r="B29" s="83"/>
      <c r="C29" s="83"/>
      <c r="D29" s="83"/>
      <c r="E29" s="103"/>
      <c r="F29" s="103"/>
      <c r="G29" s="103"/>
      <c r="H29" s="103"/>
      <c r="I29" s="103"/>
      <c r="J29" s="83"/>
      <c r="K29" s="83"/>
      <c r="L29" s="83"/>
      <c r="M29" s="83"/>
      <c r="N29" s="83"/>
      <c r="O29" s="103"/>
      <c r="P29" s="83"/>
      <c r="Q29" s="103"/>
      <c r="R29" s="83"/>
      <c r="S29" s="136"/>
      <c r="T29" s="103"/>
      <c r="U29" s="83"/>
      <c r="V29" s="136"/>
      <c r="W29" s="103"/>
      <c r="X29" s="83"/>
      <c r="Y29" s="136"/>
      <c r="Z29" s="103"/>
      <c r="AA29" s="83"/>
      <c r="AB29" s="136"/>
      <c r="AC29" s="103"/>
      <c r="AD29" s="136"/>
      <c r="AE29" s="83"/>
      <c r="AF29" s="103"/>
      <c r="AG29" s="83"/>
      <c r="AH29" s="83"/>
      <c r="AI29" s="103"/>
      <c r="AJ29" s="83"/>
      <c r="AK29" s="83"/>
      <c r="AL29" s="83"/>
      <c r="AM29" s="83"/>
      <c r="AN29" s="83"/>
      <c r="AO29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</cp:lastModifiedBy>
  <dcterms:modified xsi:type="dcterms:W3CDTF">2026-01-28T15:12:53Z</dcterms:modified>
</cp:coreProperties>
</file>